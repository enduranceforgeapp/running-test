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0938008de3cf0/Área de Trabalho/"/>
    </mc:Choice>
  </mc:AlternateContent>
  <xr:revisionPtr revIDLastSave="0" documentId="8_{963BDCA4-5A42-45C2-9AB7-D405BAAFA0E5}" xr6:coauthVersionLast="47" xr6:coauthVersionMax="47" xr10:uidLastSave="{00000000-0000-0000-0000-000000000000}"/>
  <bookViews>
    <workbookView xWindow="-108" yWindow="-108" windowWidth="23256" windowHeight="12456" xr2:uid="{38A4F77C-7BCE-470A-90DB-56A8AEC7BF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J17" i="1"/>
  <c r="K17" i="1" s="1"/>
  <c r="I18" i="1"/>
  <c r="I12" i="1"/>
  <c r="J12" i="1" s="1"/>
  <c r="K12" i="1" s="1"/>
  <c r="I9" i="1"/>
  <c r="J9" i="1" s="1"/>
  <c r="K9" i="1" s="1"/>
  <c r="I10" i="1"/>
  <c r="J10" i="1" s="1"/>
  <c r="K10" i="1" s="1"/>
  <c r="I11" i="1"/>
  <c r="J11" i="1" s="1"/>
  <c r="K11" i="1" s="1"/>
  <c r="I8" i="1"/>
  <c r="J8" i="1"/>
  <c r="K8" i="1" s="1"/>
  <c r="I6" i="1"/>
  <c r="J6" i="1" s="1"/>
  <c r="K6" i="1" s="1"/>
  <c r="I3" i="1"/>
  <c r="J3" i="1" s="1"/>
  <c r="K3" i="1" s="1"/>
  <c r="I4" i="1"/>
  <c r="I5" i="1"/>
  <c r="I2" i="1"/>
  <c r="J2" i="1" s="1"/>
  <c r="K2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26" i="1"/>
  <c r="J18" i="1"/>
  <c r="K18" i="1" s="1"/>
  <c r="I16" i="1"/>
  <c r="J16" i="1" s="1"/>
  <c r="K16" i="1" s="1"/>
  <c r="I15" i="1"/>
  <c r="I14" i="1"/>
  <c r="J14" i="1" s="1"/>
  <c r="K14" i="1" s="1"/>
  <c r="J26" i="1"/>
  <c r="K26" i="1" s="1"/>
  <c r="J21" i="1"/>
  <c r="K21" i="1"/>
  <c r="J22" i="1"/>
  <c r="K22" i="1"/>
  <c r="J23" i="1"/>
  <c r="K23" i="1"/>
  <c r="J24" i="1"/>
  <c r="K24" i="1"/>
  <c r="J20" i="1"/>
  <c r="K20" i="1" s="1"/>
  <c r="J15" i="1"/>
  <c r="K15" i="1" s="1"/>
  <c r="J4" i="1"/>
  <c r="K4" i="1" s="1"/>
  <c r="J5" i="1"/>
  <c r="K5" i="1"/>
  <c r="I21" i="1"/>
  <c r="I22" i="1"/>
  <c r="I23" i="1"/>
  <c r="I24" i="1"/>
  <c r="I20" i="1"/>
  <c r="H20" i="1"/>
  <c r="H8" i="1"/>
  <c r="H3" i="1"/>
  <c r="H4" i="1" l="1"/>
  <c r="H5" i="1" l="1"/>
  <c r="H6" i="1" l="1"/>
  <c r="H9" i="1"/>
  <c r="H10" i="1" l="1"/>
  <c r="H11" i="1" l="1"/>
  <c r="H14" i="1" l="1"/>
  <c r="H12" i="1"/>
  <c r="H15" i="1" l="1"/>
  <c r="H16" i="1" l="1"/>
  <c r="H17" i="1" s="1"/>
  <c r="H21" i="1"/>
  <c r="H18" i="1" l="1"/>
  <c r="H26" i="1"/>
  <c r="H22" i="1"/>
  <c r="H23" i="1" l="1"/>
  <c r="H27" i="1"/>
  <c r="H28" i="1" l="1"/>
  <c r="H24" i="1"/>
  <c r="H29" i="1" l="1"/>
  <c r="H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Danilo Faria</author>
  </authors>
  <commentList>
    <comment ref="C1" authorId="0" shapeId="0" xr:uid="{50631FD8-12C6-4904-8EE3-76C50130C3B6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velocidade média teste de 5min.</t>
        </r>
      </text>
    </comment>
    <comment ref="D1" authorId="0" shapeId="0" xr:uid="{AADD617C-7FC0-4882-87DD-BC83FDA1AC44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Tempo sugerido para atingir o objetivo</t>
        </r>
      </text>
    </comment>
    <comment ref="E1" authorId="0" shapeId="0" xr:uid="{0789A163-E6F5-4225-86C2-EECC98238874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nº mímo de semanas de periodização</t>
        </r>
      </text>
    </comment>
    <comment ref="F1" authorId="0" shapeId="0" xr:uid="{DB998DEE-4562-4C6B-AA64-5270D97D5EB7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quantidade de treino semanais de corrida</t>
        </r>
      </text>
    </comment>
    <comment ref="G1" authorId="0" shapeId="0" xr:uid="{D5D65CDF-6849-437C-8E7B-427AC481BAE2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sugestão de nº de treinos resistidos por semana</t>
        </r>
      </text>
    </comment>
    <comment ref="H1" authorId="0" shapeId="0" xr:uid="{16D5D619-7F15-4F87-A7EF-5B68B0434F11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pico de volume semanal máximo na periodização em kms</t>
        </r>
      </text>
    </comment>
    <comment ref="I1" authorId="0" shapeId="0" xr:uid="{A81A1B63-5028-4A1E-8CC2-B4A944C74980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Volume máximo de longão no ciclo em kms</t>
        </r>
      </text>
    </comment>
    <comment ref="J1" authorId="0" shapeId="0" xr:uid="{54ECE90D-262E-4963-A780-612D006C62AF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Volume semanal desconsiderando longão</t>
        </r>
      </text>
    </comment>
    <comment ref="K1" authorId="0" shapeId="0" xr:uid="{922F71D0-B564-41F8-8F8B-6A816764E2DA}">
      <text>
        <r>
          <rPr>
            <b/>
            <sz val="9"/>
            <color indexed="81"/>
            <rFont val="Segoe UI"/>
            <family val="2"/>
          </rPr>
          <t>Danilo Faria:</t>
        </r>
        <r>
          <rPr>
            <sz val="9"/>
            <color indexed="81"/>
            <rFont val="Segoe UI"/>
            <family val="2"/>
          </rPr>
          <t xml:space="preserve">
média de volume dos treinos semanais desconiserando o longão</t>
        </r>
      </text>
    </comment>
  </commentList>
</comments>
</file>

<file path=xl/sharedStrings.xml><?xml version="1.0" encoding="utf-8"?>
<sst xmlns="http://schemas.openxmlformats.org/spreadsheetml/2006/main" count="140" uniqueCount="39">
  <si>
    <t xml:space="preserve">elite </t>
  </si>
  <si>
    <t xml:space="preserve">distancia </t>
  </si>
  <si>
    <t>5km</t>
  </si>
  <si>
    <t>10km</t>
  </si>
  <si>
    <t>21km</t>
  </si>
  <si>
    <t>42km</t>
  </si>
  <si>
    <t>ultra maratona</t>
  </si>
  <si>
    <t>Nivel atelta</t>
  </si>
  <si>
    <t>distancia semanal</t>
  </si>
  <si>
    <t>nº semanas</t>
  </si>
  <si>
    <t>12 semanas</t>
  </si>
  <si>
    <t xml:space="preserve">20 semanas </t>
  </si>
  <si>
    <t>tempo minimo</t>
  </si>
  <si>
    <t>8 semanas</t>
  </si>
  <si>
    <t xml:space="preserve">nº de sessões corrida </t>
  </si>
  <si>
    <t>nº de sessoes ex. resistido</t>
  </si>
  <si>
    <t>velocidade nivelamento</t>
  </si>
  <si>
    <t>- 8km/h</t>
  </si>
  <si>
    <t>Volume longão</t>
  </si>
  <si>
    <t>principiante</t>
  </si>
  <si>
    <t xml:space="preserve">iniciante </t>
  </si>
  <si>
    <t>intermediário</t>
  </si>
  <si>
    <t>avançado</t>
  </si>
  <si>
    <t>8 a 12km/h</t>
  </si>
  <si>
    <t>12 a 14km/h</t>
  </si>
  <si>
    <t>14 a 16km/h</t>
  </si>
  <si>
    <t>+16km/h</t>
  </si>
  <si>
    <t>8 semans</t>
  </si>
  <si>
    <t xml:space="preserve">16 semanas </t>
  </si>
  <si>
    <t xml:space="preserve">12 semanas </t>
  </si>
  <si>
    <t>-10km/h</t>
  </si>
  <si>
    <t>10 a 12km/h</t>
  </si>
  <si>
    <t>16 semanas</t>
  </si>
  <si>
    <t>VSDL</t>
  </si>
  <si>
    <t>media VSDL</t>
  </si>
  <si>
    <t>Pre requesito para ir para próxma fase seria ter uma rodagem mínima de 21km/semana e um longão próximo a 6,2km.</t>
  </si>
  <si>
    <t>Pre requesito para ir para próxma fase seria ter uma rodagem mínima de 47km/semana e um longão próximo a 11,6km.</t>
  </si>
  <si>
    <t>Pre requesito para ir para próxma fase seria ter uma rodagem mínima de 68km/semana e um longão maior que 21km.</t>
  </si>
  <si>
    <t>Pre requesito para ir para próxma fase seria ter uma rodagem mínima de 90km/semana e um longão maior que 42km.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</si>
</sst>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B5C5-3A8C-4C1E-ACF5-1F367E73264B}">
  <dimension ref="A1:K30"/>
  <sheetViews>
    <sheetView tabSelected="1" workbookViewId="0">
      <pane ySplit="1" topLeftCell="A2" activePane="bottomLeft" state="frozen"/>
      <selection pane="bottomLeft" activeCell="I34" sqref="I34"/>
    </sheetView>
  </sheetViews>
  <sheetFormatPr defaultRowHeight="14.4" x14ac:dyDescent="0.3"/>
  <cols>
    <col min="1" max="1" width="12" bestFit="1" customWidth="1"/>
    <col min="2" max="2" width="13.33203125" bestFit="1" customWidth="1"/>
    <col min="3" max="3" width="21.44140625" style="2" bestFit="1" customWidth="1"/>
    <col min="4" max="4" width="16" bestFit="1" customWidth="1"/>
    <col min="5" max="5" width="16" customWidth="1"/>
    <col min="6" max="6" width="19.21875" style="3" bestFit="1" customWidth="1"/>
    <col min="7" max="7" width="22.88671875" style="3" bestFit="1" customWidth="1"/>
    <col min="8" max="8" width="16" style="13" bestFit="1" customWidth="1"/>
    <col min="9" max="9" width="13.88671875" style="18" bestFit="1" customWidth="1"/>
    <col min="10" max="10" width="8.88671875" style="3"/>
    <col min="11" max="11" width="11" style="10" bestFit="1" customWidth="1"/>
  </cols>
  <sheetData>
    <row r="1" spans="1:11" s="1" customFormat="1" x14ac:dyDescent="0.3">
      <c r="A1" s="4" t="s">
        <v>7</v>
      </c>
      <c r="B1" s="4" t="s">
        <v>1</v>
      </c>
      <c r="C1" s="5" t="s">
        <v>16</v>
      </c>
      <c r="D1" s="4" t="s">
        <v>9</v>
      </c>
      <c r="E1" s="4" t="s">
        <v>12</v>
      </c>
      <c r="F1" s="6" t="s">
        <v>14</v>
      </c>
      <c r="G1" s="6" t="s">
        <v>15</v>
      </c>
      <c r="H1" s="11" t="s">
        <v>8</v>
      </c>
      <c r="I1" s="16" t="s">
        <v>18</v>
      </c>
      <c r="J1" s="6" t="s">
        <v>33</v>
      </c>
      <c r="K1" s="14" t="s">
        <v>34</v>
      </c>
    </row>
    <row r="2" spans="1:11" x14ac:dyDescent="0.3">
      <c r="A2" s="7" t="s">
        <v>19</v>
      </c>
      <c r="B2" s="7" t="s">
        <v>2</v>
      </c>
      <c r="C2" s="8" t="s">
        <v>17</v>
      </c>
      <c r="D2" s="7" t="s">
        <v>28</v>
      </c>
      <c r="E2" s="7" t="s">
        <v>27</v>
      </c>
      <c r="F2" s="9">
        <v>3</v>
      </c>
      <c r="G2" s="9">
        <v>2</v>
      </c>
      <c r="H2" s="12">
        <v>12</v>
      </c>
      <c r="I2" s="17">
        <f>H2*0.3</f>
        <v>3.5999999999999996</v>
      </c>
      <c r="J2" s="15">
        <f>H2-I2</f>
        <v>8.4</v>
      </c>
      <c r="K2" s="19">
        <f>J2/(F2-1)</f>
        <v>4.2</v>
      </c>
    </row>
    <row r="3" spans="1:11" x14ac:dyDescent="0.3">
      <c r="A3" s="7" t="s">
        <v>20</v>
      </c>
      <c r="B3" s="7" t="s">
        <v>2</v>
      </c>
      <c r="C3" s="8" t="s">
        <v>23</v>
      </c>
      <c r="D3" s="7" t="s">
        <v>28</v>
      </c>
      <c r="E3" s="7" t="s">
        <v>27</v>
      </c>
      <c r="F3" s="9">
        <v>4</v>
      </c>
      <c r="G3" s="9">
        <v>2</v>
      </c>
      <c r="H3" s="12">
        <f>(H2*0.2)+H2</f>
        <v>14.4</v>
      </c>
      <c r="I3" s="17">
        <f t="shared" ref="I3:I6" si="0">H3*0.3</f>
        <v>4.32</v>
      </c>
      <c r="J3" s="15">
        <f t="shared" ref="J3:J6" si="1">H3-I3</f>
        <v>10.08</v>
      </c>
      <c r="K3" s="15">
        <f t="shared" ref="K3:K6" si="2">J3/(F3-1)</f>
        <v>3.36</v>
      </c>
    </row>
    <row r="4" spans="1:11" x14ac:dyDescent="0.3">
      <c r="A4" s="7" t="s">
        <v>21</v>
      </c>
      <c r="B4" s="7" t="s">
        <v>2</v>
      </c>
      <c r="C4" s="8" t="s">
        <v>24</v>
      </c>
      <c r="D4" s="7" t="s">
        <v>28</v>
      </c>
      <c r="E4" s="7" t="s">
        <v>13</v>
      </c>
      <c r="F4" s="9">
        <v>4</v>
      </c>
      <c r="G4" s="9">
        <v>2</v>
      </c>
      <c r="H4" s="12">
        <f t="shared" ref="H4:H5" si="3">(H3*0.2)+H3</f>
        <v>17.28</v>
      </c>
      <c r="I4" s="17">
        <f t="shared" si="0"/>
        <v>5.1840000000000002</v>
      </c>
      <c r="J4" s="15">
        <f t="shared" si="1"/>
        <v>12.096</v>
      </c>
      <c r="K4" s="15">
        <f t="shared" si="2"/>
        <v>4.032</v>
      </c>
    </row>
    <row r="5" spans="1:11" x14ac:dyDescent="0.3">
      <c r="A5" s="7" t="s">
        <v>22</v>
      </c>
      <c r="B5" s="7" t="s">
        <v>2</v>
      </c>
      <c r="C5" s="8" t="s">
        <v>25</v>
      </c>
      <c r="D5" s="7" t="s">
        <v>28</v>
      </c>
      <c r="E5" s="7" t="s">
        <v>29</v>
      </c>
      <c r="F5" s="9">
        <v>4</v>
      </c>
      <c r="G5" s="9">
        <v>3</v>
      </c>
      <c r="H5" s="12">
        <f t="shared" si="3"/>
        <v>20.736000000000001</v>
      </c>
      <c r="I5" s="17">
        <f t="shared" si="0"/>
        <v>6.2207999999999997</v>
      </c>
      <c r="J5" s="15">
        <f t="shared" si="1"/>
        <v>14.5152</v>
      </c>
      <c r="K5" s="15">
        <f t="shared" si="2"/>
        <v>4.8384</v>
      </c>
    </row>
    <row r="6" spans="1:11" x14ac:dyDescent="0.3">
      <c r="A6" s="7" t="s">
        <v>0</v>
      </c>
      <c r="B6" s="7" t="s">
        <v>2</v>
      </c>
      <c r="C6" s="8" t="s">
        <v>26</v>
      </c>
      <c r="D6" s="7" t="s">
        <v>28</v>
      </c>
      <c r="E6" s="7" t="s">
        <v>29</v>
      </c>
      <c r="F6" s="9">
        <v>5</v>
      </c>
      <c r="G6" s="9">
        <v>3</v>
      </c>
      <c r="H6" s="12">
        <f>(H5*0.3)+H5</f>
        <v>26.956800000000001</v>
      </c>
      <c r="I6" s="17">
        <f>H6*0.35</f>
        <v>9.4348799999999997</v>
      </c>
      <c r="J6" s="15">
        <f t="shared" si="1"/>
        <v>17.521920000000001</v>
      </c>
      <c r="K6" s="15">
        <f t="shared" si="2"/>
        <v>4.3804800000000004</v>
      </c>
    </row>
    <row r="7" spans="1:11" x14ac:dyDescent="0.3">
      <c r="A7" s="20" t="s">
        <v>35</v>
      </c>
      <c r="B7" s="20"/>
      <c r="C7" s="20"/>
      <c r="D7" s="20"/>
      <c r="E7" s="20"/>
      <c r="F7" s="20"/>
      <c r="G7" s="20"/>
      <c r="H7" s="20"/>
      <c r="I7" s="20"/>
    </row>
    <row r="8" spans="1:11" x14ac:dyDescent="0.3">
      <c r="A8" s="7" t="s">
        <v>19</v>
      </c>
      <c r="B8" s="7" t="s">
        <v>3</v>
      </c>
      <c r="C8" s="8" t="s">
        <v>17</v>
      </c>
      <c r="D8" s="7" t="s">
        <v>28</v>
      </c>
      <c r="E8" s="7" t="s">
        <v>27</v>
      </c>
      <c r="F8" s="9">
        <v>3</v>
      </c>
      <c r="G8" s="9">
        <v>2</v>
      </c>
      <c r="H8" s="12">
        <f>H6</f>
        <v>26.956800000000001</v>
      </c>
      <c r="I8" s="17">
        <f>H8*0.3</f>
        <v>8.08704</v>
      </c>
      <c r="J8" s="15">
        <f>H8-I8</f>
        <v>18.869759999999999</v>
      </c>
      <c r="K8" s="19">
        <f>J8/(F8-1)</f>
        <v>9.4348799999999997</v>
      </c>
    </row>
    <row r="9" spans="1:11" x14ac:dyDescent="0.3">
      <c r="A9" s="7" t="s">
        <v>20</v>
      </c>
      <c r="B9" s="7" t="s">
        <v>3</v>
      </c>
      <c r="C9" s="8" t="s">
        <v>23</v>
      </c>
      <c r="D9" s="7" t="s">
        <v>28</v>
      </c>
      <c r="E9" s="7" t="s">
        <v>27</v>
      </c>
      <c r="F9" s="9">
        <v>3</v>
      </c>
      <c r="G9" s="9">
        <v>2</v>
      </c>
      <c r="H9" s="12">
        <f>(H8*0.2)+H8</f>
        <v>32.34816</v>
      </c>
      <c r="I9" s="17">
        <f t="shared" ref="I9:I11" si="4">H9*0.3</f>
        <v>9.7044479999999993</v>
      </c>
      <c r="J9" s="15">
        <f t="shared" ref="J9:J12" si="5">H9-I9</f>
        <v>22.643712000000001</v>
      </c>
      <c r="K9" s="15">
        <f t="shared" ref="K9:K12" si="6">J9/(F9-1)</f>
        <v>11.321856</v>
      </c>
    </row>
    <row r="10" spans="1:11" x14ac:dyDescent="0.3">
      <c r="A10" s="7" t="s">
        <v>21</v>
      </c>
      <c r="B10" s="7" t="s">
        <v>3</v>
      </c>
      <c r="C10" s="8" t="s">
        <v>24</v>
      </c>
      <c r="D10" s="7" t="s">
        <v>28</v>
      </c>
      <c r="E10" s="7" t="s">
        <v>13</v>
      </c>
      <c r="F10" s="9">
        <v>4</v>
      </c>
      <c r="G10" s="9">
        <v>2</v>
      </c>
      <c r="H10" s="12">
        <f t="shared" ref="H10:H11" si="7">(H9*0.2)+H9</f>
        <v>38.817791999999997</v>
      </c>
      <c r="I10" s="17">
        <f t="shared" si="4"/>
        <v>11.6453376</v>
      </c>
      <c r="J10" s="15">
        <f t="shared" si="5"/>
        <v>27.172454399999999</v>
      </c>
      <c r="K10" s="15">
        <f t="shared" si="6"/>
        <v>9.0574847999999992</v>
      </c>
    </row>
    <row r="11" spans="1:11" x14ac:dyDescent="0.3">
      <c r="A11" s="7" t="s">
        <v>22</v>
      </c>
      <c r="B11" s="7" t="s">
        <v>3</v>
      </c>
      <c r="C11" s="8" t="s">
        <v>25</v>
      </c>
      <c r="D11" s="7" t="s">
        <v>28</v>
      </c>
      <c r="E11" s="7" t="s">
        <v>29</v>
      </c>
      <c r="F11" s="9">
        <v>4</v>
      </c>
      <c r="G11" s="9">
        <v>3</v>
      </c>
      <c r="H11" s="12">
        <f t="shared" si="7"/>
        <v>46.581350399999998</v>
      </c>
      <c r="I11" s="17">
        <f t="shared" si="4"/>
        <v>13.974405119999998</v>
      </c>
      <c r="J11" s="15">
        <f t="shared" si="5"/>
        <v>32.606945279999998</v>
      </c>
      <c r="K11" s="15">
        <f t="shared" si="6"/>
        <v>10.868981759999999</v>
      </c>
    </row>
    <row r="12" spans="1:11" x14ac:dyDescent="0.3">
      <c r="A12" s="7" t="s">
        <v>0</v>
      </c>
      <c r="B12" s="7" t="s">
        <v>3</v>
      </c>
      <c r="C12" s="8" t="s">
        <v>26</v>
      </c>
      <c r="D12" s="7" t="s">
        <v>28</v>
      </c>
      <c r="E12" s="7" t="s">
        <v>29</v>
      </c>
      <c r="F12" s="9">
        <v>5</v>
      </c>
      <c r="G12" s="9">
        <v>3</v>
      </c>
      <c r="H12" s="12">
        <f>(H11*0.3)+H11</f>
        <v>60.555755519999998</v>
      </c>
      <c r="I12" s="17">
        <f>H12*0.25</f>
        <v>15.13893888</v>
      </c>
      <c r="J12" s="15">
        <f t="shared" si="5"/>
        <v>45.41681664</v>
      </c>
      <c r="K12" s="15">
        <f t="shared" si="6"/>
        <v>11.35420416</v>
      </c>
    </row>
    <row r="13" spans="1:11" x14ac:dyDescent="0.3">
      <c r="A13" s="20" t="s">
        <v>36</v>
      </c>
      <c r="B13" s="20"/>
      <c r="C13" s="20"/>
      <c r="D13" s="20"/>
      <c r="E13" s="20"/>
      <c r="F13" s="20"/>
      <c r="G13" s="20"/>
      <c r="H13" s="20"/>
      <c r="I13" s="20"/>
    </row>
    <row r="14" spans="1:11" x14ac:dyDescent="0.3">
      <c r="A14" s="7" t="s">
        <v>19</v>
      </c>
      <c r="B14" s="7" t="s">
        <v>4</v>
      </c>
      <c r="C14" s="8" t="s">
        <v>30</v>
      </c>
      <c r="D14" s="7" t="s">
        <v>11</v>
      </c>
      <c r="E14" s="7" t="s">
        <v>10</v>
      </c>
      <c r="F14" s="9">
        <v>4</v>
      </c>
      <c r="G14" s="9">
        <v>2</v>
      </c>
      <c r="H14" s="12">
        <f>H11</f>
        <v>46.581350399999998</v>
      </c>
      <c r="I14" s="17">
        <f>(H14*0.3)</f>
        <v>13.974405119999998</v>
      </c>
      <c r="J14" s="15">
        <f>H14-I14</f>
        <v>32.606945279999998</v>
      </c>
      <c r="K14" s="15">
        <f>J14/(F14-1)</f>
        <v>10.868981759999999</v>
      </c>
    </row>
    <row r="15" spans="1:11" x14ac:dyDescent="0.3">
      <c r="A15" s="7" t="s">
        <v>20</v>
      </c>
      <c r="B15" s="7" t="s">
        <v>4</v>
      </c>
      <c r="C15" s="8" t="s">
        <v>31</v>
      </c>
      <c r="D15" s="7" t="s">
        <v>11</v>
      </c>
      <c r="E15" s="7" t="s">
        <v>10</v>
      </c>
      <c r="F15" s="9">
        <v>4</v>
      </c>
      <c r="G15" s="9">
        <v>2</v>
      </c>
      <c r="H15" s="12">
        <f>(H14*0.1)+H14</f>
        <v>51.239485439999996</v>
      </c>
      <c r="I15" s="17">
        <f>(H15*0.3)</f>
        <v>15.371845631999998</v>
      </c>
      <c r="J15" s="15">
        <f t="shared" ref="J15:J18" si="8">H15-I15</f>
        <v>35.867639808</v>
      </c>
      <c r="K15" s="15">
        <f t="shared" ref="K15:K18" si="9">J15/(F15-1)</f>
        <v>11.955879936000001</v>
      </c>
    </row>
    <row r="16" spans="1:11" x14ac:dyDescent="0.3">
      <c r="A16" s="7" t="s">
        <v>21</v>
      </c>
      <c r="B16" s="7" t="s">
        <v>4</v>
      </c>
      <c r="C16" s="8" t="s">
        <v>24</v>
      </c>
      <c r="D16" s="7" t="s">
        <v>11</v>
      </c>
      <c r="E16" s="7" t="s">
        <v>10</v>
      </c>
      <c r="F16" s="9">
        <v>5</v>
      </c>
      <c r="G16" s="9">
        <v>3</v>
      </c>
      <c r="H16" s="12">
        <f t="shared" ref="H16:H17" si="10">(H15*0.15)+H15</f>
        <v>58.925408255999997</v>
      </c>
      <c r="I16" s="17">
        <f>(H16*0.3)</f>
        <v>17.6776224768</v>
      </c>
      <c r="J16" s="15">
        <f t="shared" si="8"/>
        <v>41.247785779200001</v>
      </c>
      <c r="K16" s="15">
        <f t="shared" si="9"/>
        <v>10.3119464448</v>
      </c>
    </row>
    <row r="17" spans="1:11" x14ac:dyDescent="0.3">
      <c r="A17" s="7" t="s">
        <v>22</v>
      </c>
      <c r="B17" s="7" t="s">
        <v>4</v>
      </c>
      <c r="C17" s="8" t="s">
        <v>25</v>
      </c>
      <c r="D17" s="7" t="s">
        <v>11</v>
      </c>
      <c r="E17" s="7" t="s">
        <v>10</v>
      </c>
      <c r="F17" s="9">
        <v>5</v>
      </c>
      <c r="G17" s="9">
        <v>3</v>
      </c>
      <c r="H17" s="12">
        <f t="shared" si="10"/>
        <v>67.764219494399995</v>
      </c>
      <c r="I17" s="17">
        <f>(H17*0.28)</f>
        <v>18.973981458432</v>
      </c>
      <c r="J17" s="15">
        <f t="shared" si="8"/>
        <v>48.790238035967995</v>
      </c>
      <c r="K17" s="15">
        <f t="shared" si="9"/>
        <v>12.197559508991999</v>
      </c>
    </row>
    <row r="18" spans="1:11" x14ac:dyDescent="0.3">
      <c r="A18" s="7" t="s">
        <v>0</v>
      </c>
      <c r="B18" s="7" t="s">
        <v>4</v>
      </c>
      <c r="C18" s="8" t="s">
        <v>26</v>
      </c>
      <c r="D18" s="7" t="s">
        <v>11</v>
      </c>
      <c r="E18" s="7" t="s">
        <v>10</v>
      </c>
      <c r="F18" s="9">
        <v>6</v>
      </c>
      <c r="G18" s="9">
        <v>3</v>
      </c>
      <c r="H18" s="12">
        <f>(H17*0.2)+H17</f>
        <v>81.317063393279994</v>
      </c>
      <c r="I18" s="17">
        <f>(H18*0.25)</f>
        <v>20.329265848319999</v>
      </c>
      <c r="J18" s="15">
        <f t="shared" si="8"/>
        <v>60.987797544959996</v>
      </c>
      <c r="K18" s="15">
        <f t="shared" si="9"/>
        <v>12.197559508991999</v>
      </c>
    </row>
    <row r="19" spans="1:11" x14ac:dyDescent="0.3">
      <c r="A19" s="20" t="s">
        <v>37</v>
      </c>
      <c r="B19" s="20"/>
      <c r="C19" s="20"/>
      <c r="D19" s="20"/>
      <c r="E19" s="20"/>
      <c r="F19" s="20"/>
      <c r="G19" s="20"/>
      <c r="H19" s="20"/>
      <c r="I19" s="20"/>
    </row>
    <row r="20" spans="1:11" x14ac:dyDescent="0.3">
      <c r="A20" s="7" t="s">
        <v>19</v>
      </c>
      <c r="B20" s="7" t="s">
        <v>5</v>
      </c>
      <c r="C20" s="8" t="s">
        <v>30</v>
      </c>
      <c r="D20" s="7" t="s">
        <v>11</v>
      </c>
      <c r="E20" s="7" t="s">
        <v>32</v>
      </c>
      <c r="F20" s="9">
        <v>4</v>
      </c>
      <c r="G20" s="9">
        <v>3</v>
      </c>
      <c r="H20" s="12">
        <f>H17</f>
        <v>67.764219494399995</v>
      </c>
      <c r="I20" s="17">
        <f>H20*0.35</f>
        <v>23.717476823039998</v>
      </c>
      <c r="J20" s="15">
        <f>H20-I20</f>
        <v>44.046742671359993</v>
      </c>
      <c r="K20" s="15">
        <f>J20/(F20-1)</f>
        <v>14.682247557119998</v>
      </c>
    </row>
    <row r="21" spans="1:11" x14ac:dyDescent="0.3">
      <c r="A21" s="7" t="s">
        <v>20</v>
      </c>
      <c r="B21" s="7" t="s">
        <v>5</v>
      </c>
      <c r="C21" s="8" t="s">
        <v>31</v>
      </c>
      <c r="D21" s="7" t="s">
        <v>11</v>
      </c>
      <c r="E21" s="7" t="s">
        <v>32</v>
      </c>
      <c r="F21" s="9">
        <v>5</v>
      </c>
      <c r="G21" s="9">
        <v>3</v>
      </c>
      <c r="H21" s="12">
        <f>(H20*0.1)+H20</f>
        <v>74.540641443840002</v>
      </c>
      <c r="I21" s="17">
        <f t="shared" ref="I21:I24" si="11">H21*0.35</f>
        <v>26.089224505343999</v>
      </c>
      <c r="J21" s="15">
        <f t="shared" ref="J21:J24" si="12">H21-I21</f>
        <v>48.451416938496003</v>
      </c>
      <c r="K21" s="15">
        <f t="shared" ref="K21:K24" si="13">J21/(F21-1)</f>
        <v>12.112854234624001</v>
      </c>
    </row>
    <row r="22" spans="1:11" x14ac:dyDescent="0.3">
      <c r="A22" s="7" t="s">
        <v>21</v>
      </c>
      <c r="B22" s="7" t="s">
        <v>5</v>
      </c>
      <c r="C22" s="8" t="s">
        <v>24</v>
      </c>
      <c r="D22" s="7" t="s">
        <v>11</v>
      </c>
      <c r="E22" s="7" t="s">
        <v>32</v>
      </c>
      <c r="F22" s="9">
        <v>5</v>
      </c>
      <c r="G22" s="9">
        <v>3</v>
      </c>
      <c r="H22" s="12">
        <f t="shared" ref="H22:H23" si="14">(H21*0.1)+H21</f>
        <v>81.994705588224008</v>
      </c>
      <c r="I22" s="17">
        <f t="shared" si="11"/>
        <v>28.6981469558784</v>
      </c>
      <c r="J22" s="15">
        <f t="shared" si="12"/>
        <v>53.296558632345608</v>
      </c>
      <c r="K22" s="15">
        <f t="shared" si="13"/>
        <v>13.324139658086402</v>
      </c>
    </row>
    <row r="23" spans="1:11" x14ac:dyDescent="0.3">
      <c r="A23" s="7" t="s">
        <v>22</v>
      </c>
      <c r="B23" s="7" t="s">
        <v>5</v>
      </c>
      <c r="C23" s="8" t="s">
        <v>25</v>
      </c>
      <c r="D23" s="7" t="s">
        <v>11</v>
      </c>
      <c r="E23" s="7" t="s">
        <v>32</v>
      </c>
      <c r="F23" s="9">
        <v>6</v>
      </c>
      <c r="G23" s="9">
        <v>3</v>
      </c>
      <c r="H23" s="12">
        <f t="shared" si="14"/>
        <v>90.194176147046406</v>
      </c>
      <c r="I23" s="17">
        <f t="shared" si="11"/>
        <v>31.567961651466241</v>
      </c>
      <c r="J23" s="15">
        <f t="shared" si="12"/>
        <v>58.626214495580165</v>
      </c>
      <c r="K23" s="15">
        <f t="shared" si="13"/>
        <v>11.725242899116033</v>
      </c>
    </row>
    <row r="24" spans="1:11" x14ac:dyDescent="0.3">
      <c r="A24" s="7" t="s">
        <v>0</v>
      </c>
      <c r="B24" s="7" t="s">
        <v>5</v>
      </c>
      <c r="C24" s="8" t="s">
        <v>26</v>
      </c>
      <c r="D24" s="7" t="s">
        <v>11</v>
      </c>
      <c r="E24" s="7" t="s">
        <v>32</v>
      </c>
      <c r="F24" s="9">
        <v>6</v>
      </c>
      <c r="G24" s="9">
        <v>3</v>
      </c>
      <c r="H24" s="12">
        <f>(H23*0.2)+H23</f>
        <v>108.23301137645569</v>
      </c>
      <c r="I24" s="17">
        <f t="shared" si="11"/>
        <v>37.881553981759488</v>
      </c>
      <c r="J24" s="15">
        <f t="shared" si="12"/>
        <v>70.351457394696212</v>
      </c>
      <c r="K24" s="15">
        <f t="shared" si="13"/>
        <v>14.070291478939243</v>
      </c>
    </row>
    <row r="25" spans="1:11" x14ac:dyDescent="0.3">
      <c r="A25" s="20" t="s">
        <v>38</v>
      </c>
      <c r="B25" s="20"/>
      <c r="C25" s="20"/>
      <c r="D25" s="20"/>
      <c r="E25" s="20"/>
      <c r="F25" s="20"/>
      <c r="G25" s="20"/>
      <c r="H25" s="20"/>
      <c r="I25" s="20"/>
    </row>
    <row r="26" spans="1:11" x14ac:dyDescent="0.3">
      <c r="A26" s="7" t="s">
        <v>19</v>
      </c>
      <c r="B26" s="7" t="s">
        <v>6</v>
      </c>
      <c r="C26" s="8" t="s">
        <v>30</v>
      </c>
      <c r="D26" s="7" t="s">
        <v>11</v>
      </c>
      <c r="E26" s="7" t="s">
        <v>32</v>
      </c>
      <c r="F26" s="9">
        <v>4</v>
      </c>
      <c r="G26" s="21">
        <v>3</v>
      </c>
      <c r="H26" s="12">
        <f>H21</f>
        <v>74.540641443840002</v>
      </c>
      <c r="I26" s="17">
        <f>H26*0.4</f>
        <v>29.816256577536002</v>
      </c>
      <c r="J26" s="15">
        <f>H26-I26</f>
        <v>44.724384866304</v>
      </c>
      <c r="K26" s="15">
        <f>J26/(F26-1)</f>
        <v>14.908128288767999</v>
      </c>
    </row>
    <row r="27" spans="1:11" x14ac:dyDescent="0.3">
      <c r="A27" s="7" t="s">
        <v>20</v>
      </c>
      <c r="B27" s="7" t="s">
        <v>6</v>
      </c>
      <c r="C27" s="8" t="s">
        <v>31</v>
      </c>
      <c r="D27" s="7" t="s">
        <v>11</v>
      </c>
      <c r="E27" s="7" t="s">
        <v>32</v>
      </c>
      <c r="F27" s="9">
        <v>4</v>
      </c>
      <c r="G27" s="21">
        <v>3</v>
      </c>
      <c r="H27" s="12">
        <f>(H26*0.1)+H26</f>
        <v>81.994705588224008</v>
      </c>
      <c r="I27" s="17">
        <f t="shared" ref="I27:I30" si="15">H27*0.4</f>
        <v>32.797882235289606</v>
      </c>
      <c r="J27" s="15">
        <f t="shared" ref="J27:J30" si="16">H27-I27</f>
        <v>49.196823352934402</v>
      </c>
      <c r="K27" s="15">
        <f t="shared" ref="K27:K30" si="17">J27/(F27-1)</f>
        <v>16.398941117644799</v>
      </c>
    </row>
    <row r="28" spans="1:11" x14ac:dyDescent="0.3">
      <c r="A28" s="7" t="s">
        <v>21</v>
      </c>
      <c r="B28" s="7" t="s">
        <v>6</v>
      </c>
      <c r="C28" s="8" t="s">
        <v>24</v>
      </c>
      <c r="D28" s="7" t="s">
        <v>11</v>
      </c>
      <c r="E28" s="7" t="s">
        <v>32</v>
      </c>
      <c r="F28" s="9">
        <v>5</v>
      </c>
      <c r="G28" s="21">
        <v>4</v>
      </c>
      <c r="H28" s="12">
        <f t="shared" ref="H28:H30" si="18">(H27*0.1)+H27</f>
        <v>90.194176147046406</v>
      </c>
      <c r="I28" s="17">
        <f t="shared" si="15"/>
        <v>36.077670458818567</v>
      </c>
      <c r="J28" s="15">
        <f t="shared" si="16"/>
        <v>54.116505688227839</v>
      </c>
      <c r="K28" s="15">
        <f t="shared" si="17"/>
        <v>13.52912642205696</v>
      </c>
    </row>
    <row r="29" spans="1:11" x14ac:dyDescent="0.3">
      <c r="A29" s="7" t="s">
        <v>22</v>
      </c>
      <c r="B29" s="7" t="s">
        <v>6</v>
      </c>
      <c r="C29" s="8" t="s">
        <v>25</v>
      </c>
      <c r="D29" s="7" t="s">
        <v>11</v>
      </c>
      <c r="E29" s="7" t="s">
        <v>32</v>
      </c>
      <c r="F29" s="9">
        <v>5</v>
      </c>
      <c r="G29" s="21">
        <v>4</v>
      </c>
      <c r="H29" s="12">
        <f t="shared" si="18"/>
        <v>99.213593761751042</v>
      </c>
      <c r="I29" s="17">
        <f t="shared" si="15"/>
        <v>39.685437504700417</v>
      </c>
      <c r="J29" s="15">
        <f t="shared" si="16"/>
        <v>59.528156257050625</v>
      </c>
      <c r="K29" s="15">
        <f t="shared" si="17"/>
        <v>14.882039064262656</v>
      </c>
    </row>
    <row r="30" spans="1:11" x14ac:dyDescent="0.3">
      <c r="A30" s="7" t="s">
        <v>0</v>
      </c>
      <c r="B30" s="7" t="s">
        <v>6</v>
      </c>
      <c r="C30" s="8" t="s">
        <v>26</v>
      </c>
      <c r="D30" s="7" t="s">
        <v>11</v>
      </c>
      <c r="E30" s="7" t="s">
        <v>32</v>
      </c>
      <c r="F30" s="9">
        <v>6</v>
      </c>
      <c r="G30" s="21">
        <v>4</v>
      </c>
      <c r="H30" s="12">
        <f>(H29*0.2)+H29</f>
        <v>119.05631251410125</v>
      </c>
      <c r="I30" s="17">
        <f t="shared" si="15"/>
        <v>47.622525005640505</v>
      </c>
      <c r="J30" s="15">
        <f t="shared" si="16"/>
        <v>71.433787508460739</v>
      </c>
      <c r="K30" s="15">
        <f t="shared" si="17"/>
        <v>14.286757501692147</v>
      </c>
    </row>
  </sheetData>
  <mergeCells count="4">
    <mergeCell ref="A7:I7"/>
    <mergeCell ref="A13:I13"/>
    <mergeCell ref="A19:I19"/>
    <mergeCell ref="A25:I25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Faria</dc:creator>
  <cp:lastModifiedBy>Danilo Faria</cp:lastModifiedBy>
  <dcterms:created xsi:type="dcterms:W3CDTF">2026-09-27T14:35:53Z</dcterms:created>
  <dcterms:modified xsi:type="dcterms:W3CDTF">2026-09-27T16:54:40Z</dcterms:modified>
</cp:coreProperties>
</file>